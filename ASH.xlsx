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07E4B6F-DF87-4E58-BFC1-DFB6F96BE7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18" i="1"/>
  <c r="B18" i="1"/>
  <c r="P17" i="1"/>
  <c r="Q17" i="1" s="1"/>
  <c r="I17" i="1"/>
  <c r="G17" i="1"/>
  <c r="F17" i="1"/>
  <c r="R16" i="1"/>
  <c r="S16" i="1" s="1"/>
  <c r="P16" i="1"/>
  <c r="Q16" i="1" s="1"/>
  <c r="I16" i="1"/>
  <c r="N16" i="1" s="1"/>
  <c r="H16" i="1"/>
  <c r="M16" i="1" s="1"/>
  <c r="G16" i="1"/>
  <c r="L16" i="1" s="1"/>
  <c r="F16" i="1"/>
  <c r="K16" i="1" s="1"/>
  <c r="P15" i="1"/>
  <c r="Q15" i="1" s="1"/>
  <c r="I15" i="1"/>
  <c r="H15" i="1"/>
  <c r="G15" i="1"/>
  <c r="F15" i="1"/>
  <c r="I8" i="1"/>
  <c r="N8" i="1" s="1"/>
  <c r="S8" i="1" s="1"/>
  <c r="H8" i="1"/>
  <c r="M8" i="1" s="1"/>
  <c r="R8" i="1" s="1"/>
  <c r="G8" i="1"/>
  <c r="L8" i="1" s="1"/>
  <c r="Q8" i="1" s="1"/>
  <c r="F8" i="1"/>
  <c r="K8" i="1" s="1"/>
  <c r="P8" i="1" s="1"/>
  <c r="I7" i="1"/>
  <c r="N7" i="1" s="1"/>
  <c r="S7" i="1" s="1"/>
  <c r="H7" i="1"/>
  <c r="M7" i="1" s="1"/>
  <c r="R7" i="1" s="1"/>
  <c r="G7" i="1"/>
  <c r="L7" i="1" s="1"/>
  <c r="Q7" i="1" s="1"/>
  <c r="F7" i="1"/>
  <c r="K7" i="1" s="1"/>
  <c r="P7" i="1" s="1"/>
  <c r="I6" i="1"/>
  <c r="N6" i="1" s="1"/>
  <c r="S6" i="1" s="1"/>
  <c r="H6" i="1"/>
  <c r="M6" i="1" s="1"/>
  <c r="R6" i="1" s="1"/>
  <c r="G6" i="1"/>
  <c r="L6" i="1" s="1"/>
  <c r="Q6" i="1" s="1"/>
  <c r="F6" i="1"/>
  <c r="K6" i="1" s="1"/>
  <c r="P6" i="1" s="1"/>
  <c r="I5" i="1"/>
  <c r="N5" i="1" s="1"/>
  <c r="S5" i="1" s="1"/>
  <c r="H5" i="1"/>
  <c r="M5" i="1" s="1"/>
  <c r="R5" i="1" s="1"/>
  <c r="G5" i="1"/>
  <c r="L5" i="1" s="1"/>
  <c r="Q5" i="1" s="1"/>
  <c r="F5" i="1"/>
  <c r="K5" i="1" s="1"/>
  <c r="P5" i="1" s="1"/>
  <c r="I4" i="1"/>
  <c r="N4" i="1" s="1"/>
  <c r="S4" i="1" s="1"/>
  <c r="H4" i="1"/>
  <c r="M4" i="1" s="1"/>
  <c r="R4" i="1" s="1"/>
  <c r="G4" i="1"/>
  <c r="L4" i="1" s="1"/>
  <c r="Q4" i="1" s="1"/>
  <c r="F4" i="1"/>
  <c r="K4" i="1" s="1"/>
  <c r="P4" i="1" s="1"/>
  <c r="F18" i="1" l="1"/>
  <c r="K15" i="1"/>
  <c r="G18" i="1"/>
  <c r="L15" i="1"/>
  <c r="M15" i="1"/>
  <c r="I18" i="1"/>
  <c r="N15" i="1"/>
  <c r="L17" i="1"/>
  <c r="K17" i="1"/>
  <c r="H17" i="1"/>
  <c r="M17" i="1"/>
  <c r="B19" i="1"/>
  <c r="B20" i="1" s="1"/>
  <c r="P18" i="1"/>
  <c r="Q18" i="1" s="1"/>
  <c r="E19" i="1"/>
  <c r="E20" i="1" s="1"/>
  <c r="E21" i="1" l="1"/>
  <c r="E22" i="1" s="1"/>
  <c r="D19" i="1"/>
  <c r="N17" i="1"/>
  <c r="H18" i="1"/>
  <c r="N18" i="1"/>
  <c r="M18" i="1"/>
  <c r="L18" i="1"/>
  <c r="K18" i="1"/>
</calcChain>
</file>

<file path=xl/sharedStrings.xml><?xml version="1.0" encoding="utf-8"?>
<sst xmlns="http://schemas.openxmlformats.org/spreadsheetml/2006/main" count="43" uniqueCount="17">
  <si>
    <t>اسم المنتج</t>
  </si>
  <si>
    <t>سعر التكلفه</t>
  </si>
  <si>
    <t>جمله</t>
  </si>
  <si>
    <t>كوفير</t>
  </si>
  <si>
    <t>متخصص</t>
  </si>
  <si>
    <t>عميل</t>
  </si>
  <si>
    <t>بروتين</t>
  </si>
  <si>
    <t>Done</t>
  </si>
  <si>
    <t>مجموعة شعر</t>
  </si>
  <si>
    <t>اسبري تسقط</t>
  </si>
  <si>
    <t>مجموعة شعر+اسبري</t>
  </si>
  <si>
    <t>Loading</t>
  </si>
  <si>
    <t>بروتين+اسبري</t>
  </si>
  <si>
    <t>قطعه</t>
  </si>
  <si>
    <t>راس المال</t>
  </si>
  <si>
    <t>اسبري</t>
  </si>
  <si>
    <t>فلوس بضاعه موجوده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</si>
</sst>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C393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4" borderId="0" xfId="4" applyFont="1" applyBorder="1" applyAlignment="1">
      <alignment horizontal="center"/>
    </xf>
    <xf numFmtId="0" fontId="8" fillId="3" borderId="0" xfId="3" applyFont="1" applyAlignment="1">
      <alignment horizontal="center" vertical="center"/>
    </xf>
    <xf numFmtId="0" fontId="9" fillId="2" borderId="0" xfId="2" applyFont="1" applyAlignment="1">
      <alignment horizontal="center" vertical="center"/>
    </xf>
    <xf numFmtId="0" fontId="9" fillId="2" borderId="0" xfId="2" applyFont="1" applyBorder="1" applyAlignment="1">
      <alignment horizontal="center"/>
    </xf>
    <xf numFmtId="9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2" borderId="1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6" fillId="0" borderId="0" xfId="1" applyFont="1" applyAlignment="1">
      <alignment horizontal="center" vertic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Copy%20of%20ASH%20PUER%20s%20-%2015-8-2025.xls" TargetMode="External"/><Relationship Id="rId1" Type="http://schemas.openxmlformats.org/officeDocument/2006/relationships/externalLinkPath" Target="Copy%20of%20ASH%20PUER%20s%20-%2015-8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tore"/>
      <sheetName val="Whole sale"/>
      <sheetName val="expert"/>
      <sheetName val="client"/>
      <sheetName val="Total"/>
      <sheetName val="Free"/>
      <sheetName val="سهيله"/>
      <sheetName val="ام جنه"/>
      <sheetName val="منار"/>
      <sheetName val="معروف"/>
      <sheetName val="محسب"/>
      <sheetName val="سامح"/>
      <sheetName val="شريف"/>
      <sheetName val="محمود "/>
      <sheetName val="total s"/>
    </sheetNames>
    <sheetDataSet>
      <sheetData sheetId="0">
        <row r="15">
          <cell r="W15">
            <v>0</v>
          </cell>
        </row>
      </sheetData>
      <sheetData sheetId="1"/>
      <sheetData sheetId="2">
        <row r="113">
          <cell r="O11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23"/>
  <sheetViews>
    <sheetView tabSelected="1" workbookViewId="0">
      <selection activeCell="P7" sqref="P7"/>
    </sheetView>
  </sheetViews>
  <sheetFormatPr defaultRowHeight="15" x14ac:dyDescent="0.25"/>
  <cols>
    <col min="4" max="4" width="16.140625" customWidth="1"/>
  </cols>
  <sheetData>
    <row r="3" spans="2:20" x14ac:dyDescent="0.25">
      <c r="C3" s="1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/>
      <c r="K3" s="2" t="s">
        <v>2</v>
      </c>
      <c r="L3" s="2" t="s">
        <v>3</v>
      </c>
      <c r="M3" s="2" t="s">
        <v>4</v>
      </c>
      <c r="N3" s="2" t="s">
        <v>5</v>
      </c>
      <c r="O3" s="2"/>
      <c r="P3" s="2" t="s">
        <v>2</v>
      </c>
      <c r="Q3" s="2" t="s">
        <v>3</v>
      </c>
      <c r="R3" s="2" t="s">
        <v>4</v>
      </c>
      <c r="S3" s="2" t="s">
        <v>5</v>
      </c>
      <c r="T3" s="1"/>
    </row>
    <row r="4" spans="2:20" x14ac:dyDescent="0.25">
      <c r="C4" s="1">
        <v>24.55</v>
      </c>
      <c r="D4" s="2" t="s">
        <v>6</v>
      </c>
      <c r="E4" s="2">
        <v>1200</v>
      </c>
      <c r="F4" s="2">
        <f>E4*30/100</f>
        <v>360</v>
      </c>
      <c r="G4" s="2">
        <f>E4*60/100</f>
        <v>720</v>
      </c>
      <c r="H4" s="2">
        <f>E4*60/100</f>
        <v>720</v>
      </c>
      <c r="I4" s="2">
        <f>E4*80/100</f>
        <v>960</v>
      </c>
      <c r="J4" s="2" t="s">
        <v>7</v>
      </c>
      <c r="K4" s="3">
        <f>E4+F4</f>
        <v>1560</v>
      </c>
      <c r="L4" s="3">
        <f>E4+G4</f>
        <v>1920</v>
      </c>
      <c r="M4" s="3">
        <f>E4+H4</f>
        <v>1920</v>
      </c>
      <c r="N4" s="3">
        <f>E4+I4</f>
        <v>2160</v>
      </c>
      <c r="O4" s="1"/>
      <c r="P4" s="4">
        <f t="shared" ref="P4:S8" si="0">K4*12</f>
        <v>18720</v>
      </c>
      <c r="Q4" s="4">
        <f t="shared" si="0"/>
        <v>23040</v>
      </c>
      <c r="R4" s="4">
        <f t="shared" si="0"/>
        <v>23040</v>
      </c>
      <c r="S4" s="4">
        <f t="shared" si="0"/>
        <v>25920</v>
      </c>
      <c r="T4" s="1"/>
    </row>
    <row r="5" spans="2:20" x14ac:dyDescent="0.25">
      <c r="C5" s="1">
        <v>150</v>
      </c>
      <c r="D5" s="2" t="s">
        <v>8</v>
      </c>
      <c r="E5" s="2">
        <v>410</v>
      </c>
      <c r="F5" s="2">
        <f>E5*30/100</f>
        <v>123</v>
      </c>
      <c r="G5" s="2">
        <f>E5*50/100</f>
        <v>205</v>
      </c>
      <c r="H5" s="2">
        <f>E5*50/100</f>
        <v>205</v>
      </c>
      <c r="I5" s="2">
        <f>E5*90/100</f>
        <v>369</v>
      </c>
      <c r="J5" s="2" t="s">
        <v>7</v>
      </c>
      <c r="K5" s="3">
        <f>E5+F5</f>
        <v>533</v>
      </c>
      <c r="L5" s="3">
        <f>E5+G5</f>
        <v>615</v>
      </c>
      <c r="M5" s="3">
        <f>E5+H5</f>
        <v>615</v>
      </c>
      <c r="N5" s="3">
        <f>E5+I5</f>
        <v>779</v>
      </c>
      <c r="O5" s="1"/>
      <c r="P5" s="4">
        <f t="shared" si="0"/>
        <v>6396</v>
      </c>
      <c r="Q5" s="4">
        <f t="shared" si="0"/>
        <v>7380</v>
      </c>
      <c r="R5" s="4">
        <f t="shared" si="0"/>
        <v>7380</v>
      </c>
      <c r="S5" s="4">
        <f t="shared" si="0"/>
        <v>9348</v>
      </c>
      <c r="T5" s="1"/>
    </row>
    <row r="6" spans="2:20" x14ac:dyDescent="0.25">
      <c r="C6" s="1">
        <v>86</v>
      </c>
      <c r="D6" s="2" t="s">
        <v>9</v>
      </c>
      <c r="E6" s="1">
        <v>120</v>
      </c>
      <c r="F6" s="2">
        <f>E6*75/100</f>
        <v>90</v>
      </c>
      <c r="G6" s="2">
        <f>E6*125/100</f>
        <v>150</v>
      </c>
      <c r="H6" s="2">
        <f>E6*125/100</f>
        <v>150</v>
      </c>
      <c r="I6" s="2">
        <f>E6*200/100</f>
        <v>240</v>
      </c>
      <c r="J6" s="2" t="s">
        <v>7</v>
      </c>
      <c r="K6" s="3">
        <f>E6+F6</f>
        <v>210</v>
      </c>
      <c r="L6" s="3">
        <f>E6+G6</f>
        <v>270</v>
      </c>
      <c r="M6" s="3">
        <f>E6+H6</f>
        <v>270</v>
      </c>
      <c r="N6" s="3">
        <f>E6+I6</f>
        <v>360</v>
      </c>
      <c r="O6" s="1"/>
      <c r="P6" s="4">
        <f t="shared" si="0"/>
        <v>2520</v>
      </c>
      <c r="Q6" s="4">
        <f t="shared" si="0"/>
        <v>3240</v>
      </c>
      <c r="R6" s="4">
        <f t="shared" si="0"/>
        <v>3240</v>
      </c>
      <c r="S6" s="4">
        <f t="shared" si="0"/>
        <v>4320</v>
      </c>
      <c r="T6" s="1"/>
    </row>
    <row r="7" spans="2:20" x14ac:dyDescent="0.25">
      <c r="C7" s="1"/>
      <c r="D7" s="2" t="s">
        <v>10</v>
      </c>
      <c r="E7" s="2">
        <v>320</v>
      </c>
      <c r="F7" s="2">
        <f>E7*30/100</f>
        <v>96</v>
      </c>
      <c r="G7" s="2">
        <f>E7*60/100</f>
        <v>192</v>
      </c>
      <c r="H7" s="2">
        <f>E7*60/100</f>
        <v>192</v>
      </c>
      <c r="I7" s="2">
        <f>E7*80/100</f>
        <v>256</v>
      </c>
      <c r="J7" s="1" t="s">
        <v>11</v>
      </c>
      <c r="K7" s="3">
        <f>E7+F7</f>
        <v>416</v>
      </c>
      <c r="L7" s="3">
        <f>E7+G7</f>
        <v>512</v>
      </c>
      <c r="M7" s="3">
        <f>E7+H7</f>
        <v>512</v>
      </c>
      <c r="N7" s="3">
        <f>E7+I7</f>
        <v>576</v>
      </c>
      <c r="O7" s="1"/>
      <c r="P7" s="4">
        <f t="shared" si="0"/>
        <v>4992</v>
      </c>
      <c r="Q7" s="4">
        <f t="shared" si="0"/>
        <v>6144</v>
      </c>
      <c r="R7" s="4">
        <f t="shared" si="0"/>
        <v>6144</v>
      </c>
      <c r="S7" s="4">
        <f t="shared" si="0"/>
        <v>6912</v>
      </c>
      <c r="T7" s="1"/>
    </row>
    <row r="8" spans="2:20" x14ac:dyDescent="0.25">
      <c r="C8" s="1"/>
      <c r="D8" s="2" t="s">
        <v>12</v>
      </c>
      <c r="E8" s="1">
        <v>1320</v>
      </c>
      <c r="F8" s="2">
        <f>E8*30/100</f>
        <v>396</v>
      </c>
      <c r="G8" s="2">
        <f>E8*60/100</f>
        <v>792</v>
      </c>
      <c r="H8" s="2">
        <f>E8*60/100</f>
        <v>792</v>
      </c>
      <c r="I8" s="2">
        <f>E8*80/100</f>
        <v>1056</v>
      </c>
      <c r="J8" s="1" t="s">
        <v>11</v>
      </c>
      <c r="K8" s="3">
        <f>E8+F8</f>
        <v>1716</v>
      </c>
      <c r="L8" s="3">
        <f>E8+G8</f>
        <v>2112</v>
      </c>
      <c r="M8" s="3">
        <f>E8+H8</f>
        <v>2112</v>
      </c>
      <c r="N8" s="3">
        <f>E8+I8</f>
        <v>2376</v>
      </c>
      <c r="O8" s="1"/>
      <c r="P8" s="4">
        <f t="shared" si="0"/>
        <v>20592</v>
      </c>
      <c r="Q8" s="4">
        <f t="shared" si="0"/>
        <v>25344</v>
      </c>
      <c r="R8" s="4">
        <f t="shared" si="0"/>
        <v>25344</v>
      </c>
      <c r="S8" s="4">
        <f t="shared" si="0"/>
        <v>28512</v>
      </c>
      <c r="T8" s="1"/>
    </row>
    <row r="14" spans="2:20" x14ac:dyDescent="0.25">
      <c r="B14" s="5"/>
      <c r="C14" s="5" t="s">
        <v>13</v>
      </c>
      <c r="D14" s="6" t="s">
        <v>0</v>
      </c>
      <c r="E14" s="6" t="s">
        <v>14</v>
      </c>
      <c r="F14" s="6" t="s">
        <v>2</v>
      </c>
      <c r="G14" s="6" t="s">
        <v>3</v>
      </c>
      <c r="H14" s="6" t="s">
        <v>4</v>
      </c>
      <c r="I14" s="6" t="s">
        <v>5</v>
      </c>
      <c r="J14" s="1"/>
      <c r="K14" s="6" t="s">
        <v>2</v>
      </c>
      <c r="L14" s="6" t="s">
        <v>3</v>
      </c>
      <c r="M14" s="6" t="s">
        <v>4</v>
      </c>
      <c r="N14" s="6" t="s">
        <v>5</v>
      </c>
      <c r="O14" s="2"/>
      <c r="P14" s="7">
        <v>0.2</v>
      </c>
      <c r="Q14" s="8"/>
      <c r="R14" s="9"/>
      <c r="S14" s="2"/>
    </row>
    <row r="15" spans="2:20" x14ac:dyDescent="0.25">
      <c r="B15" s="5">
        <v>1100</v>
      </c>
      <c r="C15" s="5">
        <v>24.55</v>
      </c>
      <c r="D15" s="6" t="s">
        <v>6</v>
      </c>
      <c r="E15" s="6">
        <v>0</v>
      </c>
      <c r="F15" s="6">
        <f>E15*30/100</f>
        <v>0</v>
      </c>
      <c r="G15" s="6">
        <f>E15*60/100</f>
        <v>0</v>
      </c>
      <c r="H15" s="6">
        <f>E15*60/100</f>
        <v>0</v>
      </c>
      <c r="I15" s="6">
        <f>E15*80/100</f>
        <v>0</v>
      </c>
      <c r="J15" s="2" t="s">
        <v>7</v>
      </c>
      <c r="K15" s="6">
        <f>E15+F15</f>
        <v>0</v>
      </c>
      <c r="L15" s="6">
        <f>E15+G15</f>
        <v>0</v>
      </c>
      <c r="M15" s="6">
        <f>E15+H15</f>
        <v>0</v>
      </c>
      <c r="N15" s="6">
        <f>E15+I15</f>
        <v>0</v>
      </c>
      <c r="O15" s="1"/>
      <c r="P15" s="10">
        <f>B15*20/100</f>
        <v>220</v>
      </c>
      <c r="Q15" s="10">
        <f>P15+B15</f>
        <v>1320</v>
      </c>
      <c r="R15" s="1"/>
      <c r="S15" s="1"/>
    </row>
    <row r="16" spans="2:20" x14ac:dyDescent="0.25">
      <c r="B16" s="5">
        <v>350</v>
      </c>
      <c r="C16" s="5">
        <v>150</v>
      </c>
      <c r="D16" s="6" t="s">
        <v>8</v>
      </c>
      <c r="E16" s="6">
        <v>52500</v>
      </c>
      <c r="F16" s="6">
        <f>E16*30/100</f>
        <v>15750</v>
      </c>
      <c r="G16" s="6">
        <f>E16*60/100</f>
        <v>31500</v>
      </c>
      <c r="H16" s="6">
        <f>E16*60/100</f>
        <v>31500</v>
      </c>
      <c r="I16" s="6">
        <f>E16*80/100</f>
        <v>42000</v>
      </c>
      <c r="J16" s="2" t="s">
        <v>7</v>
      </c>
      <c r="K16" s="6">
        <f>E16+F16</f>
        <v>68250</v>
      </c>
      <c r="L16" s="6">
        <f>E16+G16</f>
        <v>84000</v>
      </c>
      <c r="M16" s="6">
        <f>E16+H16</f>
        <v>84000</v>
      </c>
      <c r="N16" s="6">
        <f>E16+I16</f>
        <v>94500</v>
      </c>
      <c r="O16" s="1"/>
      <c r="P16" s="10">
        <f>B16*20/100</f>
        <v>70</v>
      </c>
      <c r="Q16" s="10">
        <f>P16+B16</f>
        <v>420</v>
      </c>
      <c r="R16" s="11">
        <f>E16*45/100</f>
        <v>23625</v>
      </c>
      <c r="S16" s="11">
        <f>E16+R16</f>
        <v>76125</v>
      </c>
    </row>
    <row r="17" spans="2:19" ht="15.75" thickBot="1" x14ac:dyDescent="0.3">
      <c r="B17" s="5">
        <v>85</v>
      </c>
      <c r="C17" s="5">
        <v>86</v>
      </c>
      <c r="D17" s="6" t="s">
        <v>15</v>
      </c>
      <c r="E17" s="5">
        <v>0</v>
      </c>
      <c r="F17" s="6">
        <f>E17*75/100</f>
        <v>0</v>
      </c>
      <c r="G17" s="6">
        <f>E17*125/100</f>
        <v>0</v>
      </c>
      <c r="H17" s="6">
        <f>F17*125/100</f>
        <v>0</v>
      </c>
      <c r="I17" s="6">
        <f>E17*200/100</f>
        <v>0</v>
      </c>
      <c r="J17" s="2" t="s">
        <v>7</v>
      </c>
      <c r="K17" s="6">
        <f>E17+F17</f>
        <v>0</v>
      </c>
      <c r="L17" s="6">
        <f>F17+G17</f>
        <v>0</v>
      </c>
      <c r="M17" s="6">
        <f>G17+H17</f>
        <v>0</v>
      </c>
      <c r="N17" s="6">
        <f>H17+I17</f>
        <v>0</v>
      </c>
      <c r="O17" s="1"/>
      <c r="P17" s="10">
        <f>B17*20/100</f>
        <v>17</v>
      </c>
      <c r="Q17" s="10">
        <f>P17+B17</f>
        <v>102</v>
      </c>
      <c r="R17" s="1"/>
      <c r="S17" s="1"/>
    </row>
    <row r="18" spans="2:19" ht="15.75" thickBot="1" x14ac:dyDescent="0.3">
      <c r="B18" s="5">
        <f>SUM(B15:B17)</f>
        <v>1535</v>
      </c>
      <c r="C18" s="12">
        <v>290</v>
      </c>
      <c r="D18" s="6">
        <f>E18+[1]Sheet2!W15</f>
        <v>52500</v>
      </c>
      <c r="E18" s="5">
        <f>SUM(E15:E17)</f>
        <v>52500</v>
      </c>
      <c r="F18" s="5">
        <f>SUM(F15:F17)</f>
        <v>15750</v>
      </c>
      <c r="G18" s="5">
        <f>SUM(G15:G17)</f>
        <v>31500</v>
      </c>
      <c r="H18" s="5">
        <f>SUM(H15:H17)</f>
        <v>31500</v>
      </c>
      <c r="I18" s="5">
        <f>SUM(I15:I17)</f>
        <v>42000</v>
      </c>
      <c r="J18" s="1" t="s">
        <v>11</v>
      </c>
      <c r="K18" s="5">
        <f>SUM(K15:K17)</f>
        <v>68250</v>
      </c>
      <c r="L18" s="5">
        <f>SUM(L15:L17)</f>
        <v>84000</v>
      </c>
      <c r="M18" s="5">
        <f>SUM(M15:M17)</f>
        <v>84000</v>
      </c>
      <c r="N18" s="5">
        <f>SUM(N15:N17)</f>
        <v>94500</v>
      </c>
      <c r="O18" s="1"/>
      <c r="P18" s="10">
        <f>B18*20/100</f>
        <v>307</v>
      </c>
      <c r="Q18" s="10">
        <f>P18+B18</f>
        <v>1842</v>
      </c>
      <c r="R18" s="1"/>
      <c r="S18" s="1"/>
    </row>
    <row r="19" spans="2:19" x14ac:dyDescent="0.25">
      <c r="B19" s="1">
        <f>B18*35/100</f>
        <v>537.25</v>
      </c>
      <c r="C19" s="1"/>
      <c r="D19" s="1">
        <f>E20-D18</f>
        <v>18375</v>
      </c>
      <c r="E19" s="1">
        <f>E18*35/100</f>
        <v>18375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25">
      <c r="B20" s="1">
        <f>B18+B19</f>
        <v>2072.25</v>
      </c>
      <c r="C20" s="1"/>
      <c r="D20" s="1"/>
      <c r="E20" s="1">
        <f>E18+E19</f>
        <v>70875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38.25" x14ac:dyDescent="0.25">
      <c r="B21" s="1"/>
      <c r="C21" s="1"/>
      <c r="D21" s="1"/>
      <c r="E21" s="1">
        <f>E20-'[1]Whole sale'!O113</f>
        <v>70875</v>
      </c>
      <c r="F21" s="13" t="s">
        <v>16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25">
      <c r="B22" s="1"/>
      <c r="C22" s="1"/>
      <c r="D22" s="1"/>
      <c r="E22" s="14">
        <f>E21/E20</f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sameh mohamed</cp:lastModifiedBy>
  <dcterms:created xsi:type="dcterms:W3CDTF">2015-06-05T18:17:20Z</dcterms:created>
  <dcterms:modified xsi:type="dcterms:W3CDTF">2026-05-25T20:09:12Z</dcterms:modified>
</cp:coreProperties>
</file>